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tro29158-my.sharepoint.com/personal/mihai_ghimpau_student_upt_ro/Documents/"/>
    </mc:Choice>
  </mc:AlternateContent>
  <xr:revisionPtr revIDLastSave="224" documentId="8_{33A3F96B-7DCD-EB4E-A1E1-FF2037234E9E}" xr6:coauthVersionLast="47" xr6:coauthVersionMax="47" xr10:uidLastSave="{73342A17-9775-4E40-8CB8-55AFEB8B5C07}"/>
  <bookViews>
    <workbookView xWindow="0" yWindow="680" windowWidth="30240" windowHeight="17760" xr2:uid="{880C77BB-F987-6D43-88E5-05F6E762C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8" i="1"/>
  <c r="E19" i="1"/>
  <c r="E20" i="1"/>
  <c r="E21" i="1"/>
  <c r="E26" i="1"/>
  <c r="E15" i="1"/>
  <c r="E16" i="1"/>
  <c r="E17" i="1"/>
  <c r="E22" i="1"/>
  <c r="E23" i="1"/>
  <c r="E24" i="1"/>
  <c r="E25" i="1"/>
  <c r="E27" i="1"/>
  <c r="E28" i="1"/>
  <c r="E29" i="1"/>
  <c r="E30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tc={BB2D24F7-139C-1A41-B0E5-7247DB5A808F}</author>
  </authors>
  <commentList>
    <comment ref="B35" authorId="0" shapeId="0" xr:uid="{BB2D24F7-139C-1A41-B0E5-7247DB5A80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Valabi pentru OPCODE=10-22</t>
      </text>
    </comment>
  </commentList>
</comments>
</file>

<file path=xl/sharedStrings.xml><?xml version="1.0" encoding="utf-8"?>
<sst xmlns="http://schemas.openxmlformats.org/spreadsheetml/2006/main" count="82" uniqueCount="81">
  <si>
    <t>Instructiune</t>
  </si>
  <si>
    <t>Eplicatie</t>
  </si>
  <si>
    <t>OPCode</t>
  </si>
  <si>
    <t>LD X Address</t>
  </si>
  <si>
    <t>ST X Address</t>
  </si>
  <si>
    <t>RET 0</t>
  </si>
  <si>
    <t>BRZ Address</t>
  </si>
  <si>
    <t>BRN Address</t>
  </si>
  <si>
    <t>BRC Address</t>
  </si>
  <si>
    <t>BRO Address</t>
  </si>
  <si>
    <t>BRA Address</t>
  </si>
  <si>
    <t>SUB X Value</t>
  </si>
  <si>
    <t>LSR X Value</t>
  </si>
  <si>
    <t>LSL X Value</t>
  </si>
  <si>
    <t>RSR X Value</t>
  </si>
  <si>
    <t>RSL X Value</t>
  </si>
  <si>
    <t>MOV X Value</t>
  </si>
  <si>
    <t>MUL X Value</t>
  </si>
  <si>
    <t>DIV X Value</t>
  </si>
  <si>
    <t>MOD X Value</t>
  </si>
  <si>
    <t>AND X Value</t>
  </si>
  <si>
    <t>OR X Value</t>
  </si>
  <si>
    <t>XOR X Value</t>
  </si>
  <si>
    <t>NOT X Value</t>
  </si>
  <si>
    <t>CMP X Value</t>
  </si>
  <si>
    <t>TST X Value</t>
  </si>
  <si>
    <t>OPCodeBIN</t>
  </si>
  <si>
    <t>X = Mem[Address]</t>
  </si>
  <si>
    <t>Mem[Address] = X</t>
  </si>
  <si>
    <t>PC = Address if Z</t>
  </si>
  <si>
    <t>PC = Address if N</t>
  </si>
  <si>
    <t>PC = Address if C</t>
  </si>
  <si>
    <t>PC = Address if O</t>
  </si>
  <si>
    <t>PC = Address</t>
  </si>
  <si>
    <t>POP PC from stack and PC = Address</t>
  </si>
  <si>
    <t>A = X &lt;&lt; Value</t>
  </si>
  <si>
    <t>A = X &gt;&gt; Value</t>
  </si>
  <si>
    <t>A = RotRight(X, Value)</t>
  </si>
  <si>
    <t>A = RotLeft(X, Value)</t>
  </si>
  <si>
    <t>X = Value</t>
  </si>
  <si>
    <t>A = X * Value</t>
  </si>
  <si>
    <t>A = X / Value</t>
  </si>
  <si>
    <t>A = X % Value</t>
  </si>
  <si>
    <t>A = X and Value</t>
  </si>
  <si>
    <t>A = X or Value</t>
  </si>
  <si>
    <t>A = X xor Value</t>
  </si>
  <si>
    <t>A = not X</t>
  </si>
  <si>
    <t>A - X (flags: Z, N, C, O)</t>
  </si>
  <si>
    <t>X = X - Value</t>
  </si>
  <si>
    <t>END</t>
  </si>
  <si>
    <t>Program end</t>
  </si>
  <si>
    <t>ADD X</t>
  </si>
  <si>
    <t>A = A + X</t>
  </si>
  <si>
    <t>A and X (flags: Z, N, C, O)</t>
  </si>
  <si>
    <t>INC X 0</t>
  </si>
  <si>
    <t>DEC X 0</t>
  </si>
  <si>
    <t>X = X + 1</t>
  </si>
  <si>
    <t>X = X - 1</t>
  </si>
  <si>
    <t>A = A + Value</t>
  </si>
  <si>
    <t>A = A + Y</t>
  </si>
  <si>
    <t>1ADD _ Value</t>
  </si>
  <si>
    <t>0ADD 0 _</t>
  </si>
  <si>
    <t>0ADD 1 _</t>
  </si>
  <si>
    <t>Componenta</t>
  </si>
  <si>
    <t>Responsabili</t>
  </si>
  <si>
    <t>Memorie</t>
  </si>
  <si>
    <t>A</t>
  </si>
  <si>
    <t>X</t>
  </si>
  <si>
    <t>Y</t>
  </si>
  <si>
    <t>DR</t>
  </si>
  <si>
    <t>ALU</t>
  </si>
  <si>
    <t>Flags(Z,N,C,O)</t>
  </si>
  <si>
    <t>SEU</t>
  </si>
  <si>
    <t>IR</t>
  </si>
  <si>
    <t>AR</t>
  </si>
  <si>
    <t>SP</t>
  </si>
  <si>
    <t>PC</t>
  </si>
  <si>
    <t>CU</t>
  </si>
  <si>
    <t>Compilator</t>
  </si>
  <si>
    <t>PUSH</t>
  </si>
  <si>
    <t>PUSH PC on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</si>
</sst>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hai-Vladimir Ghimpău" id="{D70BF30C-DE18-BE4F-85B3-DDD44872C8AD}" userId="S::mihai.ghimpau@student.upt.ro::5605326a-33e2-4008-87de-0506e55ccf7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E4D0BD-B1E4-3143-A9DF-98AF9D64237F}" name="Table2" displayName="Table2" ref="G2:H16" totalsRowShown="0" headerRowDxfId="0" dataDxfId="14" headerRowBorderDxfId="4" tableBorderDxfId="5" totalsRowBorderDxfId="3">
  <autoFilter ref="G2:H16" xr:uid="{C4E4D0BD-B1E4-3143-A9DF-98AF9D64237F}"/>
  <tableColumns count="2">
    <tableColumn id="1" xr3:uid="{DC3246CF-A370-2F43-B428-4FF1FD2E93B4}" name="Componenta" dataDxfId="2"/>
    <tableColumn id="2" xr3:uid="{600342D1-1C44-B247-9D34-BC03228A36E7}" name="Responsabili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717581-8E5C-424C-ADE3-95A385B7600D}" name="Table3" displayName="Table3" ref="B2:E30" totalsRowShown="0" headerRowDxfId="13" headerRowBorderDxfId="11" tableBorderDxfId="12" totalsRowBorderDxfId="10">
  <autoFilter ref="B2:E30" xr:uid="{67717581-8E5C-424C-ADE3-95A385B7600D}"/>
  <sortState xmlns:xlrd2="http://schemas.microsoft.com/office/spreadsheetml/2017/richdata2" ref="B3:E30">
    <sortCondition ref="D3:D30"/>
  </sortState>
  <tableColumns count="4">
    <tableColumn id="1" xr3:uid="{FEF235D6-D5CC-8D44-B0CF-E87B58350339}" name="Instructiune" dataDxfId="9"/>
    <tableColumn id="2" xr3:uid="{12B47B20-BB32-E149-A14E-C30CA35A3840}" name="Eplicatie" dataDxfId="8"/>
    <tableColumn id="3" xr3:uid="{4539C3C2-0EE8-E846-888E-57342E4C9A31}" name="OPCode" dataDxfId="7"/>
    <tableColumn id="4" xr3:uid="{0809B888-3E9B-B845-9828-96AEF664B147}" name="OPCodeBIN" dataDxfId="6">
      <calculatedColumnFormula>DEC2BIN(D3, 6)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5" dT="2025-11-02T08:59:03.97" personId="{D70BF30C-DE18-BE4F-85B3-DDD44872C8AD}" id="{BB2D24F7-139C-1A41-B0E5-7247DB5A808F}">
    <text>Valabi pentru OPCODE=10-22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BF2D-F085-F64D-8D53-C6043326314E}">
  <dimension ref="A2:H37"/>
  <sheetViews>
    <sheetView tabSelected="1" topLeftCell="A7" zoomScale="84" workbookViewId="0">
      <selection activeCell="J21" sqref="J21"/>
    </sheetView>
  </sheetViews>
  <sheetFormatPr baseColWidth="10" defaultRowHeight="16" x14ac:dyDescent="0.2"/>
  <cols>
    <col min="1" max="1" width="10.83203125" style="1" customWidth="1"/>
    <col min="2" max="2" width="30.83203125" style="1" customWidth="1"/>
    <col min="3" max="3" width="50.83203125" style="1" customWidth="1"/>
    <col min="4" max="4" width="30.83203125" style="1" customWidth="1"/>
    <col min="5" max="5" width="30.83203125" customWidth="1"/>
    <col min="7" max="8" width="30.83203125" style="1" customWidth="1"/>
  </cols>
  <sheetData>
    <row r="2" spans="2:8" ht="22" x14ac:dyDescent="0.3">
      <c r="B2" s="12" t="s">
        <v>0</v>
      </c>
      <c r="C2" s="13" t="s">
        <v>1</v>
      </c>
      <c r="D2" s="14" t="s">
        <v>2</v>
      </c>
      <c r="E2" s="15" t="s">
        <v>26</v>
      </c>
      <c r="G2" s="21" t="s">
        <v>63</v>
      </c>
      <c r="H2" s="22" t="s">
        <v>64</v>
      </c>
    </row>
    <row r="3" spans="2:8" ht="22" x14ac:dyDescent="0.3">
      <c r="B3" s="10" t="s">
        <v>49</v>
      </c>
      <c r="C3" s="2" t="s">
        <v>50</v>
      </c>
      <c r="D3" s="3">
        <v>0</v>
      </c>
      <c r="E3" s="11" t="str">
        <f>DEC2BIN(D3, 6)</f>
        <v>000000</v>
      </c>
      <c r="G3" s="23" t="s">
        <v>65</v>
      </c>
      <c r="H3" s="24"/>
    </row>
    <row r="4" spans="2:8" ht="22" x14ac:dyDescent="0.3">
      <c r="B4" s="10" t="s">
        <v>3</v>
      </c>
      <c r="C4" s="2" t="s">
        <v>27</v>
      </c>
      <c r="D4" s="3">
        <v>1</v>
      </c>
      <c r="E4" s="11" t="str">
        <f>DEC2BIN(D4, 6)</f>
        <v>000001</v>
      </c>
      <c r="G4" s="23" t="s">
        <v>66</v>
      </c>
      <c r="H4" s="24"/>
    </row>
    <row r="5" spans="2:8" ht="22" x14ac:dyDescent="0.3">
      <c r="B5" s="10" t="s">
        <v>4</v>
      </c>
      <c r="C5" s="2" t="s">
        <v>28</v>
      </c>
      <c r="D5" s="3">
        <v>2</v>
      </c>
      <c r="E5" s="11" t="str">
        <f>DEC2BIN(D5, 6)</f>
        <v>000010</v>
      </c>
      <c r="G5" s="23" t="s">
        <v>67</v>
      </c>
      <c r="H5" s="24"/>
    </row>
    <row r="6" spans="2:8" ht="22" x14ac:dyDescent="0.3">
      <c r="B6" s="10" t="s">
        <v>6</v>
      </c>
      <c r="C6" s="2" t="s">
        <v>29</v>
      </c>
      <c r="D6" s="3">
        <v>3</v>
      </c>
      <c r="E6" s="11" t="str">
        <f>DEC2BIN(D6, 6)</f>
        <v>000011</v>
      </c>
      <c r="G6" s="23" t="s">
        <v>68</v>
      </c>
      <c r="H6" s="24"/>
    </row>
    <row r="7" spans="2:8" ht="22" x14ac:dyDescent="0.3">
      <c r="B7" s="10" t="s">
        <v>7</v>
      </c>
      <c r="C7" s="2" t="s">
        <v>30</v>
      </c>
      <c r="D7" s="3">
        <v>4</v>
      </c>
      <c r="E7" s="11" t="str">
        <f>DEC2BIN(D7, 6)</f>
        <v>000100</v>
      </c>
      <c r="G7" s="23" t="s">
        <v>69</v>
      </c>
      <c r="H7" s="24"/>
    </row>
    <row r="8" spans="2:8" ht="22" x14ac:dyDescent="0.3">
      <c r="B8" s="10" t="s">
        <v>8</v>
      </c>
      <c r="C8" s="2" t="s">
        <v>31</v>
      </c>
      <c r="D8" s="3">
        <v>5</v>
      </c>
      <c r="E8" s="11" t="str">
        <f>DEC2BIN(D8, 6)</f>
        <v>000101</v>
      </c>
      <c r="G8" s="23" t="s">
        <v>70</v>
      </c>
      <c r="H8" s="24"/>
    </row>
    <row r="9" spans="2:8" ht="22" x14ac:dyDescent="0.3">
      <c r="B9" s="10" t="s">
        <v>9</v>
      </c>
      <c r="C9" s="2" t="s">
        <v>32</v>
      </c>
      <c r="D9" s="3">
        <v>6</v>
      </c>
      <c r="E9" s="11" t="str">
        <f>DEC2BIN(D9, 6)</f>
        <v>000110</v>
      </c>
      <c r="G9" s="23" t="s">
        <v>71</v>
      </c>
      <c r="H9" s="24"/>
    </row>
    <row r="10" spans="2:8" ht="22" x14ac:dyDescent="0.3">
      <c r="B10" s="10" t="s">
        <v>10</v>
      </c>
      <c r="C10" s="2" t="s">
        <v>33</v>
      </c>
      <c r="D10" s="3">
        <v>7</v>
      </c>
      <c r="E10" s="11" t="str">
        <f>DEC2BIN(D10, 6)</f>
        <v>000111</v>
      </c>
      <c r="G10" s="23" t="s">
        <v>72</v>
      </c>
      <c r="H10" s="24"/>
    </row>
    <row r="11" spans="2:8" ht="22" x14ac:dyDescent="0.3">
      <c r="B11" s="10" t="s">
        <v>79</v>
      </c>
      <c r="C11" s="2" t="s">
        <v>80</v>
      </c>
      <c r="D11" s="3">
        <v>8</v>
      </c>
      <c r="E11" s="11" t="str">
        <f>DEC2BIN(D11, 6)</f>
        <v>001000</v>
      </c>
      <c r="G11" s="23" t="s">
        <v>73</v>
      </c>
      <c r="H11" s="24"/>
    </row>
    <row r="12" spans="2:8" ht="22" x14ac:dyDescent="0.3">
      <c r="B12" s="10" t="s">
        <v>5</v>
      </c>
      <c r="C12" s="2" t="s">
        <v>34</v>
      </c>
      <c r="D12" s="3">
        <v>9</v>
      </c>
      <c r="E12" s="11" t="str">
        <f>DEC2BIN(D12, 6)</f>
        <v>001001</v>
      </c>
      <c r="G12" s="23" t="s">
        <v>74</v>
      </c>
      <c r="H12" s="24"/>
    </row>
    <row r="13" spans="2:8" ht="22" x14ac:dyDescent="0.3">
      <c r="B13" s="10" t="s">
        <v>51</v>
      </c>
      <c r="C13" s="2" t="s">
        <v>52</v>
      </c>
      <c r="D13" s="3">
        <v>10</v>
      </c>
      <c r="E13" s="11" t="str">
        <f>DEC2BIN(D13, 6)</f>
        <v>001010</v>
      </c>
      <c r="G13" s="23" t="s">
        <v>75</v>
      </c>
      <c r="H13" s="24"/>
    </row>
    <row r="14" spans="2:8" ht="22" x14ac:dyDescent="0.3">
      <c r="B14" s="10" t="s">
        <v>11</v>
      </c>
      <c r="C14" s="2" t="s">
        <v>48</v>
      </c>
      <c r="D14" s="3">
        <v>11</v>
      </c>
      <c r="E14" s="11" t="str">
        <f>DEC2BIN(D14, 6)</f>
        <v>001011</v>
      </c>
      <c r="G14" s="23" t="s">
        <v>76</v>
      </c>
      <c r="H14" s="24"/>
    </row>
    <row r="15" spans="2:8" ht="22" x14ac:dyDescent="0.3">
      <c r="B15" s="10" t="s">
        <v>17</v>
      </c>
      <c r="C15" s="2" t="s">
        <v>40</v>
      </c>
      <c r="D15" s="3">
        <v>12</v>
      </c>
      <c r="E15" s="11" t="str">
        <f>DEC2BIN(D15, 6)</f>
        <v>001100</v>
      </c>
      <c r="G15" s="23" t="s">
        <v>77</v>
      </c>
      <c r="H15" s="24"/>
    </row>
    <row r="16" spans="2:8" ht="22" x14ac:dyDescent="0.3">
      <c r="B16" s="10" t="s">
        <v>18</v>
      </c>
      <c r="C16" s="2" t="s">
        <v>41</v>
      </c>
      <c r="D16" s="3">
        <v>13</v>
      </c>
      <c r="E16" s="11" t="str">
        <f>DEC2BIN(D16, 6)</f>
        <v>001101</v>
      </c>
      <c r="G16" s="25" t="s">
        <v>78</v>
      </c>
      <c r="H16" s="20"/>
    </row>
    <row r="17" spans="2:5" ht="22" x14ac:dyDescent="0.3">
      <c r="B17" s="10" t="s">
        <v>19</v>
      </c>
      <c r="C17" s="2" t="s">
        <v>42</v>
      </c>
      <c r="D17" s="3">
        <v>14</v>
      </c>
      <c r="E17" s="11" t="str">
        <f>DEC2BIN(D17, 6)</f>
        <v>001110</v>
      </c>
    </row>
    <row r="18" spans="2:5" ht="22" x14ac:dyDescent="0.3">
      <c r="B18" s="10" t="s">
        <v>12</v>
      </c>
      <c r="C18" s="2" t="s">
        <v>36</v>
      </c>
      <c r="D18" s="3">
        <v>15</v>
      </c>
      <c r="E18" s="11" t="str">
        <f>DEC2BIN(D18, 6)</f>
        <v>001111</v>
      </c>
    </row>
    <row r="19" spans="2:5" ht="22" x14ac:dyDescent="0.3">
      <c r="B19" s="10" t="s">
        <v>13</v>
      </c>
      <c r="C19" s="2" t="s">
        <v>35</v>
      </c>
      <c r="D19" s="3">
        <v>16</v>
      </c>
      <c r="E19" s="11" t="str">
        <f>DEC2BIN(D19, 6)</f>
        <v>010000</v>
      </c>
    </row>
    <row r="20" spans="2:5" ht="22" x14ac:dyDescent="0.3">
      <c r="B20" s="10" t="s">
        <v>14</v>
      </c>
      <c r="C20" s="2" t="s">
        <v>37</v>
      </c>
      <c r="D20" s="3">
        <v>17</v>
      </c>
      <c r="E20" s="11" t="str">
        <f>DEC2BIN(D20, 6)</f>
        <v>010001</v>
      </c>
    </row>
    <row r="21" spans="2:5" ht="22" x14ac:dyDescent="0.3">
      <c r="B21" s="10" t="s">
        <v>15</v>
      </c>
      <c r="C21" s="2" t="s">
        <v>38</v>
      </c>
      <c r="D21" s="3">
        <v>18</v>
      </c>
      <c r="E21" s="11" t="str">
        <f>DEC2BIN(D21, 6)</f>
        <v>010010</v>
      </c>
    </row>
    <row r="22" spans="2:5" ht="22" x14ac:dyDescent="0.3">
      <c r="B22" s="10" t="s">
        <v>20</v>
      </c>
      <c r="C22" s="2" t="s">
        <v>43</v>
      </c>
      <c r="D22" s="3">
        <v>19</v>
      </c>
      <c r="E22" s="11" t="str">
        <f>DEC2BIN(D22, 6)</f>
        <v>010011</v>
      </c>
    </row>
    <row r="23" spans="2:5" ht="22" x14ac:dyDescent="0.3">
      <c r="B23" s="10" t="s">
        <v>21</v>
      </c>
      <c r="C23" s="2" t="s">
        <v>44</v>
      </c>
      <c r="D23" s="3">
        <v>20</v>
      </c>
      <c r="E23" s="11" t="str">
        <f>DEC2BIN(D23, 6)</f>
        <v>010100</v>
      </c>
    </row>
    <row r="24" spans="2:5" ht="22" x14ac:dyDescent="0.3">
      <c r="B24" s="10" t="s">
        <v>22</v>
      </c>
      <c r="C24" s="2" t="s">
        <v>45</v>
      </c>
      <c r="D24" s="3">
        <v>21</v>
      </c>
      <c r="E24" s="11" t="str">
        <f>DEC2BIN(D24, 6)</f>
        <v>010101</v>
      </c>
    </row>
    <row r="25" spans="2:5" ht="22" x14ac:dyDescent="0.3">
      <c r="B25" s="10" t="s">
        <v>23</v>
      </c>
      <c r="C25" s="2" t="s">
        <v>46</v>
      </c>
      <c r="D25" s="3">
        <v>22</v>
      </c>
      <c r="E25" s="11" t="str">
        <f>DEC2BIN(D25, 6)</f>
        <v>010110</v>
      </c>
    </row>
    <row r="26" spans="2:5" ht="22" x14ac:dyDescent="0.3">
      <c r="B26" s="10" t="s">
        <v>16</v>
      </c>
      <c r="C26" s="2" t="s">
        <v>39</v>
      </c>
      <c r="D26" s="3">
        <v>23</v>
      </c>
      <c r="E26" s="11" t="str">
        <f>DEC2BIN(D26, 6)</f>
        <v>010111</v>
      </c>
    </row>
    <row r="27" spans="2:5" ht="22" x14ac:dyDescent="0.3">
      <c r="B27" s="10" t="s">
        <v>24</v>
      </c>
      <c r="C27" s="2" t="s">
        <v>47</v>
      </c>
      <c r="D27" s="3">
        <v>24</v>
      </c>
      <c r="E27" s="11" t="str">
        <f>DEC2BIN(D27, 6)</f>
        <v>011000</v>
      </c>
    </row>
    <row r="28" spans="2:5" ht="22" x14ac:dyDescent="0.3">
      <c r="B28" s="10" t="s">
        <v>25</v>
      </c>
      <c r="C28" s="2" t="s">
        <v>53</v>
      </c>
      <c r="D28" s="3">
        <v>25</v>
      </c>
      <c r="E28" s="11" t="str">
        <f>DEC2BIN(D28, 6)</f>
        <v>011001</v>
      </c>
    </row>
    <row r="29" spans="2:5" ht="22" x14ac:dyDescent="0.3">
      <c r="B29" s="10" t="s">
        <v>54</v>
      </c>
      <c r="C29" s="2" t="s">
        <v>56</v>
      </c>
      <c r="D29" s="3">
        <v>26</v>
      </c>
      <c r="E29" s="11" t="str">
        <f>DEC2BIN(D29, 6)</f>
        <v>011010</v>
      </c>
    </row>
    <row r="30" spans="2:5" ht="22" x14ac:dyDescent="0.3">
      <c r="B30" s="16" t="s">
        <v>55</v>
      </c>
      <c r="C30" s="17" t="s">
        <v>57</v>
      </c>
      <c r="D30" s="18">
        <v>27</v>
      </c>
      <c r="E30" s="19" t="str">
        <f>DEC2BIN(D30, 6)</f>
        <v>011011</v>
      </c>
    </row>
    <row r="34" spans="2:3" ht="17" thickBot="1" x14ac:dyDescent="0.25"/>
    <row r="35" spans="2:3" x14ac:dyDescent="0.2">
      <c r="B35" s="4" t="s">
        <v>60</v>
      </c>
      <c r="C35" s="5" t="s">
        <v>58</v>
      </c>
    </row>
    <row r="36" spans="2:3" x14ac:dyDescent="0.2">
      <c r="B36" s="6" t="s">
        <v>61</v>
      </c>
      <c r="C36" s="7" t="s">
        <v>52</v>
      </c>
    </row>
    <row r="37" spans="2:3" ht="17" thickBot="1" x14ac:dyDescent="0.25">
      <c r="B37" s="8" t="s">
        <v>62</v>
      </c>
      <c r="C37" s="9" t="s">
        <v>59</v>
      </c>
    </row>
  </sheetData>
  <phoneticPr fontId="1" type="noConversion"/>
  <pageMargins left="0.7" right="0.7" top="0.75" bottom="0.75" header="0.3" footer="0.3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Mihai-Vladimir Ghimpău</dc:creator>
  <cp:lastModifiedBy>Mihai-Vladimir Ghimpău</cp:lastModifiedBy>
  <dcterms:created xsi:type="dcterms:W3CDTF">2025-10-13T15:27:32Z</dcterms:created>
  <dcterms:modified xsi:type="dcterms:W3CDTF">2025-11-02T08:59:11Z</dcterms:modified>
</cp:coreProperties>
</file>